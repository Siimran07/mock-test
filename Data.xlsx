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20001_{01B4FFB4-24BF-47C0-B71D-69EBEBEEDC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Product_Master" sheetId="2" r:id="rId2"/>
    <sheet name="Monthly Target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D17" i="1"/>
  <c r="C17" i="1"/>
  <c r="B17" i="1"/>
  <c r="J3" i="1"/>
  <c r="J4" i="1"/>
  <c r="J5" i="1"/>
  <c r="J6" i="1"/>
  <c r="J7" i="1"/>
  <c r="J8" i="1"/>
  <c r="J9" i="1"/>
  <c r="J10" i="1"/>
  <c r="J11" i="1"/>
  <c r="J2" i="1"/>
  <c r="I13" i="1"/>
  <c r="I3" i="1"/>
  <c r="I4" i="1"/>
  <c r="I5" i="1"/>
  <c r="I6" i="1"/>
  <c r="I7" i="1"/>
  <c r="I8" i="1"/>
  <c r="I9" i="1"/>
  <c r="I10" i="1"/>
  <c r="I11" i="1"/>
  <c r="I2" i="1"/>
  <c r="H4" i="3"/>
  <c r="I4" i="3"/>
  <c r="J4" i="3"/>
  <c r="K4" i="3"/>
  <c r="G4" i="3"/>
  <c r="G5" i="2"/>
  <c r="H5" i="2"/>
  <c r="H6" i="2"/>
  <c r="H7" i="2"/>
  <c r="H8" i="2"/>
  <c r="H4" i="2"/>
  <c r="G6" i="2"/>
  <c r="G7" i="2"/>
  <c r="G8" i="2"/>
  <c r="G4" i="2"/>
</calcChain>
</file>

<file path=xl/sharedStrings.xml><?xml version="1.0" encoding="utf-8"?>
<sst xmlns="http://schemas.openxmlformats.org/spreadsheetml/2006/main" count="91" uniqueCount="52">
  <si>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</si>
  <si>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</si>
  <si>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</si>
  <si>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</si>
  <si>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</si>
  <si>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</si>
  <si>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</si>
  <si>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</si>
  <si>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</si>
  <si>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</si>
  <si>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</si>
  <si>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</si>
  <si>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</si>
  <si>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</si>
  <si>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</si>
  <si>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</si>
  <si>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</si>
  <si>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</si>
  <si>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</si>
  <si>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</si>
  <si>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</si>
  <si>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</si>
  <si>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</si>
  <si>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</si>
  <si>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</si>
  <si>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</si>
  <si>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</si>
  <si>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</si>
  <si>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</si>
  <si>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</si>
  <si>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</si>
  <si>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</si>
  <si>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</si>
  <si>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</si>
  <si>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</si>
  <si>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</si>
  <si>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</si>
  <si>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</si>
  <si>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</si>
  <si>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</si>
  <si>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</si>
  <si>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</si>
  <si>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</si>
  <si>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</si>
  <si>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</si>
  <si>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</si>
  <si>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</si>
  <si>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Hlookup</t>
  </si>
  <si>
    <t>Total sales value</t>
  </si>
  <si>
    <t>Total sum</t>
  </si>
  <si>
    <t>Regional Sales</t>
  </si>
  <si>
    <t>Actual Regional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</si>
</sst>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7"/>
  <sheetViews>
    <sheetView tabSelected="1" workbookViewId="0">
      <selection activeCell="K17" sqref="K17"/>
    </sheetView>
  </sheetViews>
  <sheetFormatPr defaultColWidth="12.6640625" defaultRowHeight="15.75" customHeight="1" x14ac:dyDescent="0.25"/>
  <cols>
    <col min="1" max="1" width="18.5546875" customWidth="1"/>
    <col min="9" max="9" width="15.88671875" customWidth="1"/>
    <col min="10" max="10" width="15.77734375" customWidth="1"/>
    <col min="11" max="11" width="24.88671875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37</v>
      </c>
      <c r="H1" s="5"/>
      <c r="I1" s="10" t="s">
        <v>48</v>
      </c>
      <c r="J1" s="10" t="s">
        <v>50</v>
      </c>
      <c r="K1" s="2"/>
      <c r="L1" s="2"/>
    </row>
    <row r="2" spans="1:12" x14ac:dyDescent="0.25">
      <c r="A2" s="5" t="s">
        <v>6</v>
      </c>
      <c r="B2" s="5" t="s">
        <v>7</v>
      </c>
      <c r="C2" s="5" t="s">
        <v>8</v>
      </c>
      <c r="D2" s="5" t="s">
        <v>9</v>
      </c>
      <c r="E2" s="5">
        <v>15</v>
      </c>
      <c r="F2" s="5">
        <v>45000</v>
      </c>
      <c r="G2" s="5">
        <v>3000</v>
      </c>
      <c r="H2" s="6"/>
      <c r="I2" s="6">
        <f>$E2*$G2</f>
        <v>45000</v>
      </c>
      <c r="J2" s="6">
        <f>HLOOKUP(C2,$A$15:$E$16,2,FALSE)</f>
        <v>150000</v>
      </c>
    </row>
    <row r="3" spans="1:12" x14ac:dyDescent="0.25">
      <c r="A3" s="5" t="s">
        <v>10</v>
      </c>
      <c r="B3" s="5" t="s">
        <v>11</v>
      </c>
      <c r="C3" s="5" t="s">
        <v>12</v>
      </c>
      <c r="D3" s="5" t="s">
        <v>13</v>
      </c>
      <c r="E3" s="5">
        <v>20</v>
      </c>
      <c r="F3" s="5">
        <v>60000</v>
      </c>
      <c r="G3" s="5">
        <v>3000</v>
      </c>
      <c r="H3" s="6"/>
      <c r="I3" s="6">
        <f t="shared" ref="I3:I11" si="0">$E3*$G3</f>
        <v>60000</v>
      </c>
      <c r="J3" s="6">
        <f t="shared" ref="J3:J11" si="1">HLOOKUP(C3,$A$15:$E$16,2,FALSE)</f>
        <v>140000</v>
      </c>
    </row>
    <row r="4" spans="1:12" x14ac:dyDescent="0.25">
      <c r="A4" s="5" t="s">
        <v>14</v>
      </c>
      <c r="B4" s="5" t="s">
        <v>15</v>
      </c>
      <c r="C4" s="5" t="s">
        <v>16</v>
      </c>
      <c r="D4" s="5" t="s">
        <v>17</v>
      </c>
      <c r="E4" s="5">
        <v>10</v>
      </c>
      <c r="F4" s="5">
        <v>35000</v>
      </c>
      <c r="G4" s="5">
        <v>3500</v>
      </c>
      <c r="H4" s="6"/>
      <c r="I4" s="6">
        <f t="shared" si="0"/>
        <v>35000</v>
      </c>
      <c r="J4" s="6">
        <f t="shared" si="1"/>
        <v>120000</v>
      </c>
    </row>
    <row r="5" spans="1:12" x14ac:dyDescent="0.25">
      <c r="A5" s="5" t="s">
        <v>18</v>
      </c>
      <c r="B5" s="5" t="s">
        <v>19</v>
      </c>
      <c r="C5" s="5" t="s">
        <v>20</v>
      </c>
      <c r="D5" s="5" t="s">
        <v>21</v>
      </c>
      <c r="E5" s="5">
        <v>25</v>
      </c>
      <c r="F5" s="5">
        <v>125000</v>
      </c>
      <c r="G5" s="5">
        <v>5000</v>
      </c>
      <c r="H5" s="6"/>
      <c r="I5" s="6">
        <f t="shared" si="0"/>
        <v>125000</v>
      </c>
      <c r="J5" s="6">
        <f t="shared" si="1"/>
        <v>160000</v>
      </c>
    </row>
    <row r="6" spans="1:12" x14ac:dyDescent="0.25">
      <c r="A6" s="5" t="s">
        <v>22</v>
      </c>
      <c r="B6" s="5" t="s">
        <v>23</v>
      </c>
      <c r="C6" s="5" t="s">
        <v>8</v>
      </c>
      <c r="D6" s="5" t="s">
        <v>24</v>
      </c>
      <c r="E6" s="5">
        <v>12</v>
      </c>
      <c r="F6" s="5">
        <v>48000</v>
      </c>
      <c r="G6" s="5">
        <v>4000</v>
      </c>
      <c r="H6" s="6"/>
      <c r="I6" s="6">
        <f t="shared" si="0"/>
        <v>48000</v>
      </c>
      <c r="J6" s="6">
        <f t="shared" si="1"/>
        <v>150000</v>
      </c>
    </row>
    <row r="7" spans="1:12" x14ac:dyDescent="0.25">
      <c r="A7" s="5" t="s">
        <v>25</v>
      </c>
      <c r="B7" s="5" t="s">
        <v>26</v>
      </c>
      <c r="C7" s="5" t="s">
        <v>16</v>
      </c>
      <c r="D7" s="5" t="s">
        <v>13</v>
      </c>
      <c r="E7" s="5">
        <v>18</v>
      </c>
      <c r="F7" s="5">
        <v>54000</v>
      </c>
      <c r="G7" s="11">
        <v>3000</v>
      </c>
      <c r="H7" s="6"/>
      <c r="I7" s="6">
        <f t="shared" si="0"/>
        <v>54000</v>
      </c>
      <c r="J7" s="6">
        <f t="shared" si="1"/>
        <v>120000</v>
      </c>
    </row>
    <row r="8" spans="1:12" x14ac:dyDescent="0.25">
      <c r="A8" s="5" t="s">
        <v>27</v>
      </c>
      <c r="B8" s="5" t="s">
        <v>28</v>
      </c>
      <c r="C8" s="5" t="s">
        <v>12</v>
      </c>
      <c r="D8" s="5" t="s">
        <v>17</v>
      </c>
      <c r="E8" s="5">
        <v>22</v>
      </c>
      <c r="F8" s="5">
        <v>77000</v>
      </c>
      <c r="G8" s="11">
        <v>3500</v>
      </c>
      <c r="H8" s="6"/>
      <c r="I8" s="6">
        <f t="shared" si="0"/>
        <v>77000</v>
      </c>
      <c r="J8" s="6">
        <f t="shared" si="1"/>
        <v>140000</v>
      </c>
    </row>
    <row r="9" spans="1:12" x14ac:dyDescent="0.25">
      <c r="A9" s="5" t="s">
        <v>29</v>
      </c>
      <c r="B9" s="5" t="s">
        <v>30</v>
      </c>
      <c r="C9" s="5" t="s">
        <v>20</v>
      </c>
      <c r="D9" s="5" t="s">
        <v>9</v>
      </c>
      <c r="E9" s="5">
        <v>30</v>
      </c>
      <c r="F9" s="5">
        <v>90000</v>
      </c>
      <c r="G9" s="11">
        <v>3000</v>
      </c>
      <c r="H9" s="6"/>
      <c r="I9" s="6">
        <f t="shared" si="0"/>
        <v>90000</v>
      </c>
      <c r="J9" s="6">
        <f t="shared" si="1"/>
        <v>160000</v>
      </c>
    </row>
    <row r="10" spans="1:12" x14ac:dyDescent="0.25">
      <c r="A10" s="5" t="s">
        <v>31</v>
      </c>
      <c r="B10" s="5" t="s">
        <v>32</v>
      </c>
      <c r="C10" s="5" t="s">
        <v>8</v>
      </c>
      <c r="D10" s="5" t="s">
        <v>21</v>
      </c>
      <c r="E10" s="5">
        <v>14</v>
      </c>
      <c r="F10" s="5">
        <v>70000</v>
      </c>
      <c r="G10" s="11">
        <v>5000</v>
      </c>
      <c r="H10" s="6"/>
      <c r="I10" s="6">
        <f t="shared" si="0"/>
        <v>70000</v>
      </c>
      <c r="J10" s="6">
        <f t="shared" si="1"/>
        <v>150000</v>
      </c>
    </row>
    <row r="11" spans="1:12" x14ac:dyDescent="0.25">
      <c r="A11" s="5" t="s">
        <v>33</v>
      </c>
      <c r="B11" s="5" t="s">
        <v>34</v>
      </c>
      <c r="C11" s="5" t="s">
        <v>16</v>
      </c>
      <c r="D11" s="5" t="s">
        <v>24</v>
      </c>
      <c r="E11" s="5">
        <v>8</v>
      </c>
      <c r="F11" s="5">
        <v>32000</v>
      </c>
      <c r="G11" s="11">
        <v>4000</v>
      </c>
      <c r="H11" s="6"/>
      <c r="I11" s="6">
        <f t="shared" si="0"/>
        <v>32000</v>
      </c>
      <c r="J11" s="6">
        <f t="shared" si="1"/>
        <v>120000</v>
      </c>
    </row>
    <row r="13" spans="1:12" ht="15.75" customHeight="1" x14ac:dyDescent="0.25">
      <c r="H13" s="9" t="s">
        <v>49</v>
      </c>
      <c r="I13" s="6">
        <f>SUM(I2:I11)</f>
        <v>636000</v>
      </c>
    </row>
    <row r="15" spans="1:12" ht="15.75" customHeight="1" x14ac:dyDescent="0.25">
      <c r="A15" s="4" t="s">
        <v>2</v>
      </c>
      <c r="B15" s="4" t="s">
        <v>8</v>
      </c>
      <c r="C15" s="4" t="s">
        <v>12</v>
      </c>
      <c r="D15" s="4" t="s">
        <v>16</v>
      </c>
      <c r="E15" s="4" t="s">
        <v>20</v>
      </c>
    </row>
    <row r="16" spans="1:12" ht="15.75" customHeight="1" x14ac:dyDescent="0.25">
      <c r="A16" s="5" t="s">
        <v>46</v>
      </c>
      <c r="B16" s="5">
        <v>150000</v>
      </c>
      <c r="C16" s="5">
        <v>140000</v>
      </c>
      <c r="D16" s="5">
        <v>120000</v>
      </c>
      <c r="E16" s="5">
        <v>160000</v>
      </c>
    </row>
    <row r="17" spans="1:5" ht="15.75" customHeight="1" x14ac:dyDescent="0.25">
      <c r="A17" s="9" t="s">
        <v>51</v>
      </c>
      <c r="B17" s="6">
        <f>SUMIF(C1:C11,B15,J1:J11)</f>
        <v>450000</v>
      </c>
      <c r="C17" s="6">
        <f>SUMIF(C1:C11,C15,J1:J11)</f>
        <v>280000</v>
      </c>
      <c r="D17" s="6">
        <f>SUMIF(C1:C11,D15,J1:J11)</f>
        <v>360000</v>
      </c>
      <c r="E17" s="6">
        <f>SUMIF(C1:C11,E15,J1:J11)</f>
        <v>320000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"/>
  <sheetViews>
    <sheetView workbookViewId="0">
      <selection activeCell="E20" sqref="E20"/>
    </sheetView>
  </sheetViews>
  <sheetFormatPr defaultColWidth="12.6640625" defaultRowHeight="15.75" customHeight="1" x14ac:dyDescent="0.25"/>
  <cols>
    <col min="3" max="3" width="17" customWidth="1"/>
    <col min="7" max="7" width="18.44140625" customWidth="1"/>
  </cols>
  <sheetData>
    <row r="1" spans="1:11" x14ac:dyDescent="0.25">
      <c r="A1" s="1" t="s">
        <v>3</v>
      </c>
      <c r="B1" s="1" t="s">
        <v>35</v>
      </c>
      <c r="C1" s="1" t="s">
        <v>36</v>
      </c>
      <c r="D1" s="1" t="s">
        <v>37</v>
      </c>
    </row>
    <row r="2" spans="1:11" x14ac:dyDescent="0.25">
      <c r="A2" s="2" t="s">
        <v>9</v>
      </c>
      <c r="B2" s="2" t="s">
        <v>38</v>
      </c>
      <c r="C2" s="2" t="s">
        <v>39</v>
      </c>
      <c r="D2" s="2">
        <v>3000</v>
      </c>
    </row>
    <row r="3" spans="1:11" x14ac:dyDescent="0.25">
      <c r="A3" s="2" t="s">
        <v>13</v>
      </c>
      <c r="B3" s="2" t="s">
        <v>40</v>
      </c>
      <c r="C3" s="2" t="s">
        <v>39</v>
      </c>
      <c r="D3" s="2">
        <v>3000</v>
      </c>
      <c r="G3" s="7" t="s">
        <v>35</v>
      </c>
      <c r="H3" s="7" t="s">
        <v>37</v>
      </c>
      <c r="I3" s="1"/>
      <c r="J3" s="3"/>
      <c r="K3" s="2"/>
    </row>
    <row r="4" spans="1:11" x14ac:dyDescent="0.25">
      <c r="A4" s="2" t="s">
        <v>17</v>
      </c>
      <c r="B4" s="2" t="s">
        <v>41</v>
      </c>
      <c r="C4" s="2" t="s">
        <v>42</v>
      </c>
      <c r="D4" s="2">
        <v>3500</v>
      </c>
      <c r="G4" s="5" t="str">
        <f>VLOOKUP(A2,$A1:$D6,2,FALSE)</f>
        <v>Laptop</v>
      </c>
      <c r="H4" s="6">
        <f>VLOOKUP(A2,$A1:$D6,4,FALSE)</f>
        <v>3000</v>
      </c>
      <c r="I4" s="2"/>
    </row>
    <row r="5" spans="1:11" x14ac:dyDescent="0.25">
      <c r="A5" s="2" t="s">
        <v>21</v>
      </c>
      <c r="B5" s="2" t="s">
        <v>43</v>
      </c>
      <c r="C5" s="2" t="s">
        <v>44</v>
      </c>
      <c r="D5" s="2">
        <v>5000</v>
      </c>
      <c r="G5" s="5" t="str">
        <f>VLOOKUP(A3,$A2:$D7,2,FALSE)</f>
        <v>Smartphone</v>
      </c>
      <c r="H5" s="6">
        <f t="shared" ref="H5:H8" si="0">VLOOKUP(A3,$A2:$D7,4,FALSE)</f>
        <v>3000</v>
      </c>
      <c r="I5" s="2"/>
    </row>
    <row r="6" spans="1:11" x14ac:dyDescent="0.25">
      <c r="A6" s="2" t="s">
        <v>24</v>
      </c>
      <c r="B6" s="2" t="s">
        <v>45</v>
      </c>
      <c r="C6" s="2" t="s">
        <v>39</v>
      </c>
      <c r="D6" s="2">
        <v>4000</v>
      </c>
      <c r="G6" s="5" t="str">
        <f t="shared" ref="G5:G8" si="1">VLOOKUP(A4,$A3:$D8,2,FALSE)</f>
        <v>Headphones</v>
      </c>
      <c r="H6" s="6">
        <f t="shared" si="0"/>
        <v>3500</v>
      </c>
      <c r="I6" s="2"/>
    </row>
    <row r="7" spans="1:11" ht="15.75" customHeight="1" x14ac:dyDescent="0.25">
      <c r="G7" s="5" t="str">
        <f t="shared" si="1"/>
        <v>Printer</v>
      </c>
      <c r="H7" s="6">
        <f t="shared" si="0"/>
        <v>5000</v>
      </c>
      <c r="I7" s="2"/>
    </row>
    <row r="8" spans="1:11" x14ac:dyDescent="0.25">
      <c r="C8" s="2"/>
      <c r="G8" s="5" t="str">
        <f t="shared" si="1"/>
        <v>Monitor</v>
      </c>
      <c r="H8" s="6">
        <f t="shared" si="0"/>
        <v>4000</v>
      </c>
      <c r="I8" s="2"/>
    </row>
    <row r="9" spans="1:11" ht="15.75" customHeight="1" x14ac:dyDescent="0.25">
      <c r="B9" s="2"/>
      <c r="C9" s="2"/>
    </row>
    <row r="10" spans="1:11" ht="15.75" customHeight="1" x14ac:dyDescent="0.25">
      <c r="I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7"/>
  <sheetViews>
    <sheetView workbookViewId="0">
      <selection activeCell="E8" sqref="E8"/>
    </sheetView>
  </sheetViews>
  <sheetFormatPr defaultColWidth="12.6640625" defaultRowHeight="15.75" customHeight="1" x14ac:dyDescent="0.25"/>
  <sheetData>
    <row r="1" spans="1:11" x14ac:dyDescent="0.25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  <c r="G1" s="8" t="s">
        <v>47</v>
      </c>
    </row>
    <row r="2" spans="1:11" x14ac:dyDescent="0.25">
      <c r="A2" s="2" t="s">
        <v>46</v>
      </c>
      <c r="B2" s="2">
        <v>150000</v>
      </c>
      <c r="C2" s="2">
        <v>140000</v>
      </c>
      <c r="D2" s="2">
        <v>120000</v>
      </c>
      <c r="E2" s="2">
        <v>160000</v>
      </c>
    </row>
    <row r="3" spans="1:11" ht="15.75" customHeight="1" x14ac:dyDescent="0.25">
      <c r="G3" s="1" t="s">
        <v>2</v>
      </c>
      <c r="H3" s="3" t="s">
        <v>8</v>
      </c>
      <c r="I3" s="3" t="s">
        <v>12</v>
      </c>
      <c r="J3" s="3" t="s">
        <v>16</v>
      </c>
      <c r="K3" s="3" t="s">
        <v>20</v>
      </c>
    </row>
    <row r="4" spans="1:11" ht="15.75" customHeight="1" x14ac:dyDescent="0.25">
      <c r="G4" t="str">
        <f>HLOOKUP(A1,A1:E2,2,FALSE)</f>
        <v>Target Sales</v>
      </c>
      <c r="H4">
        <f>HLOOKUP(B1,B1:F2,2,FALSE)</f>
        <v>150000</v>
      </c>
      <c r="I4">
        <f t="shared" ref="I4:K4" si="0">HLOOKUP(C1,C1:G2,2,FALSE)</f>
        <v>140000</v>
      </c>
      <c r="J4">
        <f t="shared" si="0"/>
        <v>120000</v>
      </c>
      <c r="K4">
        <f t="shared" si="0"/>
        <v>160000</v>
      </c>
    </row>
    <row r="7" spans="1:11" ht="15.75" customHeight="1" x14ac:dyDescent="0.25">
      <c r="G7" s="1" t="s">
        <v>2</v>
      </c>
    </row>
  </sheetData>
  <dataValidations count="1">
    <dataValidation type="list" allowBlank="1" showInputMessage="1" showErrorMessage="1" sqref="G7" xr:uid="{354C8E76-8D66-451B-BD9A-5F9992855649}">
      <formula1>$A$1:$E$1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</dc:creator>
  <cp:lastModifiedBy>Saloni Gondane</cp:lastModifiedBy>
  <dcterms:created xsi:type="dcterms:W3CDTF">2025-11-01T07:53:28Z</dcterms:created>
  <dcterms:modified xsi:type="dcterms:W3CDTF">2025-11-01T09:17:48Z</dcterms:modified>
</cp:coreProperties>
</file>